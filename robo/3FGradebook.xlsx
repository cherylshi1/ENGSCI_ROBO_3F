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hyls/Desktop/"/>
    </mc:Choice>
  </mc:AlternateContent>
  <xr:revisionPtr revIDLastSave="0" documentId="8_{C59D6091-68F3-3B40-8086-2EC605650787}" xr6:coauthVersionLast="47" xr6:coauthVersionMax="47" xr10:uidLastSave="{00000000-0000-0000-0000-000000000000}"/>
  <bookViews>
    <workbookView xWindow="0" yWindow="660" windowWidth="12680" windowHeight="18980" xr2:uid="{795F20B1-E988-E646-B39B-FB408E9446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20" i="1"/>
  <c r="G19" i="1"/>
  <c r="G18" i="1"/>
  <c r="G15" i="1"/>
  <c r="G14" i="1"/>
  <c r="G13" i="1"/>
  <c r="G12" i="1"/>
  <c r="G11" i="1"/>
  <c r="G10" i="1"/>
  <c r="G9" i="1"/>
  <c r="G6" i="1"/>
  <c r="G5" i="1"/>
  <c r="G4" i="1"/>
  <c r="G3" i="1"/>
  <c r="G2" i="1"/>
  <c r="C24" i="1"/>
  <c r="C23" i="1"/>
  <c r="C22" i="1"/>
  <c r="C19" i="1"/>
  <c r="C18" i="1"/>
  <c r="C17" i="1"/>
  <c r="C16" i="1"/>
  <c r="C20" i="1"/>
  <c r="C21" i="1"/>
  <c r="C15" i="1"/>
  <c r="C12" i="1"/>
  <c r="C11" i="1"/>
  <c r="C9" i="1"/>
  <c r="C10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<sst xmlns="http://schemas.openxmlformats.org/spreadsheetml/2006/main" count="35" uniqueCount="30">
  <si>
    <t>Design Assignments</t>
  </si>
  <si>
    <t>Midterm</t>
  </si>
  <si>
    <t xml:space="preserve">Labs </t>
  </si>
  <si>
    <t xml:space="preserve">Final </t>
  </si>
  <si>
    <t>MIE366(mackay@mie.utoronto.ca)</t>
  </si>
  <si>
    <t xml:space="preserve">Assignmens </t>
  </si>
  <si>
    <t>AER301(jonathan.kelly@robotics.utias.utoronto.ca)</t>
  </si>
  <si>
    <t>ROB301 (nick.rhinehart@utoronto.ca)</t>
  </si>
  <si>
    <t>Lab1</t>
  </si>
  <si>
    <t>Lab2</t>
  </si>
  <si>
    <t>Lab3</t>
  </si>
  <si>
    <t xml:space="preserve">Project </t>
  </si>
  <si>
    <t>Assignment1</t>
  </si>
  <si>
    <t>Assignment2</t>
  </si>
  <si>
    <t>Assignment3</t>
  </si>
  <si>
    <t>ROB310(abhishek.goudar@utoronto.ca)</t>
  </si>
  <si>
    <t>problem set1</t>
  </si>
  <si>
    <t>problem set2</t>
  </si>
  <si>
    <t>midterm</t>
  </si>
  <si>
    <t>final</t>
  </si>
  <si>
    <t>CHE374(yuri.lawryshyn@utoronto.ca)</t>
  </si>
  <si>
    <t>quizes</t>
  </si>
  <si>
    <t xml:space="preserve">assignments </t>
  </si>
  <si>
    <t>tt1</t>
  </si>
  <si>
    <t>tt2</t>
  </si>
  <si>
    <t>project</t>
  </si>
  <si>
    <t xml:space="preserve">final </t>
  </si>
  <si>
    <t>CSC263(sc263-2026-09@cs.toronto.edu)</t>
  </si>
  <si>
    <t>homework</t>
  </si>
  <si>
    <t xml:space="preserve">midterm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</si>
</sst>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13225-A5B8-AB48-93A5-2D918C6146A9}">
  <dimension ref="A1:G24"/>
  <sheetViews>
    <sheetView tabSelected="1" workbookViewId="0">
      <selection activeCell="C17" sqref="C17"/>
    </sheetView>
  </sheetViews>
  <sheetFormatPr baseColWidth="10" defaultRowHeight="16" x14ac:dyDescent="0.2"/>
  <cols>
    <col min="1" max="1" width="18.5" customWidth="1"/>
    <col min="5" max="5" width="16.33203125" customWidth="1"/>
  </cols>
  <sheetData>
    <row r="1" spans="1:7" x14ac:dyDescent="0.2">
      <c r="A1" t="s">
        <v>4</v>
      </c>
      <c r="E1" t="s">
        <v>15</v>
      </c>
    </row>
    <row r="2" spans="1:7" x14ac:dyDescent="0.2">
      <c r="A2" t="s">
        <v>0</v>
      </c>
      <c r="B2">
        <v>0</v>
      </c>
      <c r="C2">
        <f>B2*0.16</f>
        <v>0</v>
      </c>
      <c r="E2" t="s">
        <v>16</v>
      </c>
      <c r="F2">
        <v>0</v>
      </c>
      <c r="G2">
        <f>F2*0.1</f>
        <v>0</v>
      </c>
    </row>
    <row r="3" spans="1:7" x14ac:dyDescent="0.2">
      <c r="A3" t="s">
        <v>1</v>
      </c>
      <c r="B3">
        <v>0</v>
      </c>
      <c r="C3">
        <f>B3*0.21</f>
        <v>0</v>
      </c>
      <c r="E3" t="s">
        <v>17</v>
      </c>
      <c r="F3">
        <v>0</v>
      </c>
      <c r="G3">
        <f t="shared" ref="G3:G5" si="0">F3*0.1</f>
        <v>0</v>
      </c>
    </row>
    <row r="4" spans="1:7" x14ac:dyDescent="0.2">
      <c r="A4" t="s">
        <v>2</v>
      </c>
      <c r="B4">
        <v>0</v>
      </c>
      <c r="C4">
        <f>B4*0.18</f>
        <v>0</v>
      </c>
      <c r="E4" t="s">
        <v>18</v>
      </c>
      <c r="F4">
        <v>0</v>
      </c>
      <c r="G4">
        <f>F4*0.3</f>
        <v>0</v>
      </c>
    </row>
    <row r="5" spans="1:7" x14ac:dyDescent="0.2">
      <c r="A5" t="s">
        <v>3</v>
      </c>
      <c r="B5">
        <v>0</v>
      </c>
      <c r="C5">
        <f>B5*0.45</f>
        <v>0</v>
      </c>
      <c r="E5" t="s">
        <v>19</v>
      </c>
      <c r="F5">
        <v>0</v>
      </c>
      <c r="G5">
        <f>F5*0.5</f>
        <v>0</v>
      </c>
    </row>
    <row r="6" spans="1:7" x14ac:dyDescent="0.2">
      <c r="C6">
        <f>SUM(C2:C5)</f>
        <v>0</v>
      </c>
      <c r="G6">
        <f>SUM(G2:G5)</f>
        <v>0</v>
      </c>
    </row>
    <row r="8" spans="1:7" x14ac:dyDescent="0.2">
      <c r="A8" t="s">
        <v>6</v>
      </c>
      <c r="E8" t="s">
        <v>20</v>
      </c>
    </row>
    <row r="9" spans="1:7" x14ac:dyDescent="0.2">
      <c r="A9" t="s">
        <v>5</v>
      </c>
      <c r="B9">
        <v>0</v>
      </c>
      <c r="C9">
        <f>B9*0.25</f>
        <v>0</v>
      </c>
      <c r="E9" t="s">
        <v>21</v>
      </c>
      <c r="F9">
        <v>0</v>
      </c>
      <c r="G9">
        <f>F9*0.1</f>
        <v>0</v>
      </c>
    </row>
    <row r="10" spans="1:7" x14ac:dyDescent="0.2">
      <c r="A10" t="s">
        <v>1</v>
      </c>
      <c r="B10">
        <v>0</v>
      </c>
      <c r="C10">
        <f>B10*0.3</f>
        <v>0</v>
      </c>
      <c r="E10" t="s">
        <v>22</v>
      </c>
      <c r="F10">
        <v>0</v>
      </c>
      <c r="G10">
        <f>F10*0.05</f>
        <v>0</v>
      </c>
    </row>
    <row r="11" spans="1:7" x14ac:dyDescent="0.2">
      <c r="A11" t="s">
        <v>3</v>
      </c>
      <c r="B11">
        <v>0</v>
      </c>
      <c r="C11">
        <f>B11*0.45</f>
        <v>0</v>
      </c>
      <c r="E11" t="s">
        <v>23</v>
      </c>
      <c r="F11">
        <v>0</v>
      </c>
      <c r="G11">
        <f>F11*0.15</f>
        <v>0</v>
      </c>
    </row>
    <row r="12" spans="1:7" x14ac:dyDescent="0.2">
      <c r="C12">
        <f>SUM(C9:C11)</f>
        <v>0</v>
      </c>
      <c r="E12" t="s">
        <v>24</v>
      </c>
      <c r="F12">
        <v>0</v>
      </c>
      <c r="G12">
        <f>F12*0.15</f>
        <v>0</v>
      </c>
    </row>
    <row r="13" spans="1:7" x14ac:dyDescent="0.2">
      <c r="E13" t="s">
        <v>25</v>
      </c>
      <c r="F13">
        <v>0</v>
      </c>
      <c r="G13">
        <f>F13*0.1</f>
        <v>0</v>
      </c>
    </row>
    <row r="14" spans="1:7" x14ac:dyDescent="0.2">
      <c r="A14" t="s">
        <v>7</v>
      </c>
      <c r="E14" t="s">
        <v>26</v>
      </c>
      <c r="F14">
        <v>0</v>
      </c>
      <c r="G14">
        <f>F14*0.45</f>
        <v>0</v>
      </c>
    </row>
    <row r="15" spans="1:7" x14ac:dyDescent="0.2">
      <c r="A15" t="s">
        <v>8</v>
      </c>
      <c r="B15">
        <v>0</v>
      </c>
      <c r="C15">
        <f>B15*0.03</f>
        <v>0</v>
      </c>
      <c r="G15">
        <f>SUM(G9:G14)</f>
        <v>0</v>
      </c>
    </row>
    <row r="16" spans="1:7" x14ac:dyDescent="0.2">
      <c r="A16" t="s">
        <v>9</v>
      </c>
      <c r="B16">
        <v>0</v>
      </c>
      <c r="C16">
        <f>B16*0.04</f>
        <v>0</v>
      </c>
    </row>
    <row r="17" spans="1:7" x14ac:dyDescent="0.2">
      <c r="A17" t="s">
        <v>10</v>
      </c>
      <c r="B17">
        <v>0</v>
      </c>
      <c r="C17">
        <f>B17*0.04</f>
        <v>0</v>
      </c>
      <c r="E17" t="s">
        <v>27</v>
      </c>
    </row>
    <row r="18" spans="1:7" x14ac:dyDescent="0.2">
      <c r="A18" t="s">
        <v>11</v>
      </c>
      <c r="B18">
        <v>0</v>
      </c>
      <c r="C18">
        <f>B18*0.15</f>
        <v>0</v>
      </c>
      <c r="E18" t="s">
        <v>28</v>
      </c>
      <c r="F18">
        <v>0</v>
      </c>
      <c r="G18">
        <f>F18*0.24</f>
        <v>0</v>
      </c>
    </row>
    <row r="19" spans="1:7" x14ac:dyDescent="0.2">
      <c r="A19" t="s">
        <v>12</v>
      </c>
      <c r="B19">
        <v>0</v>
      </c>
      <c r="C19">
        <f>B19*0.03</f>
        <v>0</v>
      </c>
      <c r="E19" t="s">
        <v>29</v>
      </c>
      <c r="F19">
        <v>0</v>
      </c>
      <c r="G19">
        <f t="shared" ref="G19:G20" si="1">F19*0.24</f>
        <v>0</v>
      </c>
    </row>
    <row r="20" spans="1:7" x14ac:dyDescent="0.2">
      <c r="A20" t="s">
        <v>13</v>
      </c>
      <c r="B20">
        <v>0</v>
      </c>
      <c r="C20">
        <f t="shared" ref="C16:C23" si="2">B20*0.03</f>
        <v>0</v>
      </c>
      <c r="E20" t="s">
        <v>26</v>
      </c>
      <c r="F20">
        <v>0</v>
      </c>
      <c r="G20">
        <f>F20*0.52</f>
        <v>0</v>
      </c>
    </row>
    <row r="21" spans="1:7" x14ac:dyDescent="0.2">
      <c r="A21" t="s">
        <v>14</v>
      </c>
      <c r="B21">
        <v>0</v>
      </c>
      <c r="C21">
        <f t="shared" si="2"/>
        <v>0</v>
      </c>
      <c r="G21">
        <f>SUM(G18:G20)</f>
        <v>0</v>
      </c>
    </row>
    <row r="22" spans="1:7" x14ac:dyDescent="0.2">
      <c r="A22" t="s">
        <v>1</v>
      </c>
      <c r="B22">
        <v>0</v>
      </c>
      <c r="C22">
        <f>B22*0.3</f>
        <v>0</v>
      </c>
    </row>
    <row r="23" spans="1:7" x14ac:dyDescent="0.2">
      <c r="A23" t="s">
        <v>3</v>
      </c>
      <c r="B23">
        <v>0</v>
      </c>
      <c r="C23">
        <f>B23*0.35</f>
        <v>0</v>
      </c>
    </row>
    <row r="24" spans="1:7" x14ac:dyDescent="0.2">
      <c r="C24">
        <f>SUM(C15:C23)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 Shi Shi</dc:creator>
  <cp:lastModifiedBy>Cheryl Shi Shi</cp:lastModifiedBy>
  <dcterms:created xsi:type="dcterms:W3CDTF">2026-09-08T13:26:09Z</dcterms:created>
  <dcterms:modified xsi:type="dcterms:W3CDTF">2026-09-09T19:09:23Z</dcterms:modified>
</cp:coreProperties>
</file>